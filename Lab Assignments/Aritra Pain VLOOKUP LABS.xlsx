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 defaultThemeVersion="166925"/>
  <xr:revisionPtr revIDLastSave="0" documentId="8_{6085467B-B335-4947-AA2A-B585AF9CBCA9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Products" sheetId="1" r:id="rId1"/>
    <sheet name="Orders" sheetId="2" r:id="rId2"/>
  </sheets>
  <definedNames>
    <definedName name="_xlnm._FilterDatabase" localSheetId="0" hidden="1">Products!$K$9:$K$9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I8" i="2"/>
  <c r="I3" i="2"/>
  <c r="I4" i="2"/>
  <c r="I5" i="2"/>
  <c r="I6" i="2"/>
  <c r="I7" i="2"/>
  <c r="I2" i="2"/>
  <c r="D2" i="2"/>
  <c r="G3" i="2"/>
  <c r="G4" i="2"/>
  <c r="G5" i="2"/>
  <c r="G6" i="2"/>
  <c r="G7" i="2"/>
  <c r="G2" i="2"/>
  <c r="E3" i="2"/>
  <c r="F3" i="2" s="1"/>
  <c r="E4" i="2"/>
  <c r="F4" i="2" s="1"/>
  <c r="E5" i="2"/>
  <c r="F5" i="2" s="1"/>
  <c r="E6" i="2"/>
  <c r="F6" i="2" s="1"/>
  <c r="E7" i="2"/>
  <c r="F7" i="2" s="1"/>
  <c r="E2" i="2"/>
  <c r="F2" i="2" s="1"/>
  <c r="D3" i="2"/>
  <c r="D4" i="2"/>
  <c r="D5" i="2"/>
  <c r="D6" i="2"/>
  <c r="D7" i="2"/>
  <c r="H7" i="2" s="1"/>
  <c r="H6" i="2" l="1"/>
  <c r="H5" i="2"/>
  <c r="H4" i="2"/>
  <c r="H3" i="2"/>
  <c r="H2" i="2"/>
</calcChain>
</file>

<file path=xl/sharedStrings.xml><?xml version="1.0" encoding="utf-8"?>
<sst xmlns="http://schemas.openxmlformats.org/spreadsheetml/2006/main" count="20" uniqueCount="18">
  <si>
    <t>ProductID</t>
  </si>
  <si>
    <t>Product</t>
  </si>
  <si>
    <t>Price</t>
  </si>
  <si>
    <t xml:space="preserve">Ordered or not </t>
  </si>
  <si>
    <t>Product A</t>
  </si>
  <si>
    <t>Product B</t>
  </si>
  <si>
    <t>Product C</t>
  </si>
  <si>
    <t>Product D</t>
  </si>
  <si>
    <t>Product E</t>
  </si>
  <si>
    <t>Product F</t>
  </si>
  <si>
    <t>ProductG</t>
  </si>
  <si>
    <t>OrderID</t>
  </si>
  <si>
    <t>Quantity</t>
  </si>
  <si>
    <t>ProductName</t>
  </si>
  <si>
    <t>TotalPrice</t>
  </si>
  <si>
    <t>10% Discount Price</t>
  </si>
  <si>
    <t>Total Quantity Sold per Product</t>
  </si>
  <si>
    <t>product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</si>
</sst>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b/>
      <sz val="11"/>
      <color theme="0"/>
      <name val="Calibri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1" xfId="0" applyFont="1" applyBorder="1"/>
    <xf numFmtId="0" fontId="2" fillId="0" borderId="3" xfId="0" applyFont="1" applyBorder="1"/>
    <xf numFmtId="0" fontId="2" fillId="0" borderId="3" xfId="0" applyFont="1" applyBorder="1" applyAlignment="1">
      <alignment wrapText="1"/>
    </xf>
    <xf numFmtId="0" fontId="2" fillId="0" borderId="1" xfId="0" applyFont="1" applyBorder="1"/>
    <xf numFmtId="0" fontId="2" fillId="0" borderId="0" xfId="0" applyFont="1" applyBorder="1" applyAlignment="1">
      <alignment wrapText="1"/>
    </xf>
    <xf numFmtId="0" fontId="0" fillId="0" borderId="0" xfId="0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4" fillId="2" borderId="1" xfId="0" applyFont="1" applyFill="1" applyBorder="1"/>
    <xf numFmtId="0" fontId="3" fillId="2" borderId="1" xfId="0" applyFont="1" applyFill="1" applyBorder="1"/>
  </cellXfs>
  <cellStyles count="1">
    <cellStyle name="Normal" xfId="0" builtinId="0"/>
  </cellStyles>
  <dxfs count="8">
    <dxf>
      <numFmt numFmtId="0" formatCode="General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</font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AA347B-648E-4C81-BA9E-8F93772C1B35}" name="Table1" displayName="Table1" ref="A1:D8" totalsRowShown="0" headerRowDxfId="7" headerRowBorderDxfId="5" tableBorderDxfId="6" totalsRowBorderDxfId="4">
  <autoFilter ref="A1:D8" xr:uid="{52AA347B-648E-4C81-BA9E-8F93772C1B35}">
    <filterColumn colId="0" hiddenButton="1"/>
    <filterColumn colId="1" hiddenButton="1"/>
    <filterColumn colId="2" hiddenButton="1"/>
    <filterColumn colId="3" hiddenButton="1"/>
  </autoFilter>
  <tableColumns count="4">
    <tableColumn id="1" xr3:uid="{249A2B3B-F7F7-4BA7-A949-0F0D37C639AA}" name="ProductID" dataDxfId="3"/>
    <tableColumn id="2" xr3:uid="{DD915028-02A2-4F04-B386-08FCE8E2FB99}" name="Product" dataDxfId="2"/>
    <tableColumn id="3" xr3:uid="{C4D6429A-4E05-4CD6-BE2E-5C5B72C436DA}" name="Price" dataDxfId="1"/>
    <tableColumn id="4" xr3:uid="{43B23490-8102-4F9D-81AA-E87263093951}" name="Ordered or not " dataDxfId="0">
      <calculatedColumnFormula>IF(COUNTIF(Orders!B:B,A2)=0,"Not Ordered","Ordered")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>
      <selection sqref="A1:D1"/>
    </sheetView>
  </sheetViews>
  <sheetFormatPr defaultRowHeight="15"/>
  <cols>
    <col min="1" max="1" width="11.85546875" bestFit="1" customWidth="1"/>
    <col min="2" max="2" width="10" bestFit="1" customWidth="1"/>
    <col min="3" max="3" width="12.42578125" customWidth="1"/>
    <col min="4" max="4" width="16.7109375" bestFit="1" customWidth="1"/>
  </cols>
  <sheetData>
    <row r="1" spans="1:4">
      <c r="A1" s="13" t="s">
        <v>0</v>
      </c>
      <c r="B1" s="14" t="s">
        <v>1</v>
      </c>
      <c r="C1" s="14" t="s">
        <v>2</v>
      </c>
      <c r="D1" s="15" t="s">
        <v>3</v>
      </c>
    </row>
    <row r="2" spans="1:4">
      <c r="A2" s="2">
        <v>101</v>
      </c>
      <c r="B2" s="1" t="s">
        <v>4</v>
      </c>
      <c r="C2" s="1">
        <v>120</v>
      </c>
      <c r="D2" s="3" t="str">
        <f>IF(COUNTIF(Orders!B:B,A2)=0,"Not Ordered","Ordered")</f>
        <v>Ordered</v>
      </c>
    </row>
    <row r="3" spans="1:4">
      <c r="A3" s="2">
        <v>102</v>
      </c>
      <c r="B3" s="1" t="s">
        <v>5</v>
      </c>
      <c r="C3" s="1">
        <v>150</v>
      </c>
      <c r="D3" s="3" t="str">
        <f>IF(COUNTIF(Orders!B:B,A3)=0,"Not Ordered","Ordered")</f>
        <v>Ordered</v>
      </c>
    </row>
    <row r="4" spans="1:4">
      <c r="A4" s="2">
        <v>103</v>
      </c>
      <c r="B4" s="1" t="s">
        <v>6</v>
      </c>
      <c r="C4" s="1">
        <v>200</v>
      </c>
      <c r="D4" s="3" t="str">
        <f>IF(COUNTIF(Orders!B:B,A4)=0,"Not Ordered","Ordered")</f>
        <v>Ordered</v>
      </c>
    </row>
    <row r="5" spans="1:4">
      <c r="A5" s="2">
        <v>104</v>
      </c>
      <c r="B5" s="1" t="s">
        <v>7</v>
      </c>
      <c r="C5" s="1">
        <v>90</v>
      </c>
      <c r="D5" s="3" t="str">
        <f>IF(COUNTIF(Orders!B:B,A5)=0,"Not Ordered","Ordered")</f>
        <v>Ordered</v>
      </c>
    </row>
    <row r="6" spans="1:4">
      <c r="A6" s="2">
        <v>105</v>
      </c>
      <c r="B6" s="1" t="s">
        <v>8</v>
      </c>
      <c r="C6" s="1">
        <v>220</v>
      </c>
      <c r="D6" s="3" t="str">
        <f>IF(COUNTIF(Orders!B:B,A6)=0,"Not Ordered","Ordered")</f>
        <v>Ordered</v>
      </c>
    </row>
    <row r="7" spans="1:4">
      <c r="A7" s="2">
        <v>106</v>
      </c>
      <c r="B7" s="1" t="s">
        <v>9</v>
      </c>
      <c r="C7" s="1">
        <v>130</v>
      </c>
      <c r="D7" s="3" t="str">
        <f>IF(COUNTIF(Orders!B:B,A7)=0,"Not Ordered","Ordered")</f>
        <v>Ordered</v>
      </c>
    </row>
    <row r="8" spans="1:4">
      <c r="A8" s="4">
        <v>108</v>
      </c>
      <c r="B8" s="5" t="s">
        <v>10</v>
      </c>
      <c r="C8" s="5">
        <v>240</v>
      </c>
      <c r="D8" s="6" t="str">
        <f>IF(COUNTIF(Orders!B:B,A8)=0,"Not Ordered","Ordered")</f>
        <v>Not Ordered</v>
      </c>
    </row>
  </sheetData>
  <autoFilter ref="K9" xr:uid="{00000000-0001-0000-0000-000000000000}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9B98F-2664-464E-84F7-E2BEA7E8B6A9}">
  <dimension ref="A1:N8"/>
  <sheetViews>
    <sheetView tabSelected="1" workbookViewId="0">
      <selection activeCell="J15" sqref="J15"/>
    </sheetView>
  </sheetViews>
  <sheetFormatPr defaultRowHeight="15"/>
  <cols>
    <col min="2" max="2" width="9.5703125" bestFit="1" customWidth="1"/>
    <col min="4" max="4" width="12.85546875" bestFit="1" customWidth="1"/>
    <col min="6" max="6" width="9.5703125" bestFit="1" customWidth="1"/>
    <col min="7" max="7" width="17.85546875" bestFit="1" customWidth="1"/>
    <col min="8" max="8" width="28.28515625" customWidth="1"/>
    <col min="9" max="9" width="30.140625" bestFit="1" customWidth="1"/>
    <col min="10" max="10" width="19" customWidth="1"/>
    <col min="13" max="13" width="30.140625" customWidth="1"/>
    <col min="14" max="14" width="25.28515625" customWidth="1"/>
  </cols>
  <sheetData>
    <row r="1" spans="1:14" ht="26.25" customHeight="1">
      <c r="A1" s="7" t="s">
        <v>11</v>
      </c>
      <c r="B1" s="7" t="s">
        <v>0</v>
      </c>
      <c r="C1" s="7" t="s">
        <v>12</v>
      </c>
      <c r="D1" s="7" t="s">
        <v>13</v>
      </c>
      <c r="E1" s="7" t="s">
        <v>2</v>
      </c>
      <c r="F1" s="7" t="s">
        <v>14</v>
      </c>
      <c r="G1" s="10" t="s">
        <v>15</v>
      </c>
      <c r="H1" s="9" t="s">
        <v>16</v>
      </c>
      <c r="I1" s="8" t="s">
        <v>17</v>
      </c>
      <c r="J1" s="11"/>
    </row>
    <row r="2" spans="1:14">
      <c r="A2" s="1">
        <v>1</v>
      </c>
      <c r="B2" s="1">
        <v>101</v>
      </c>
      <c r="C2" s="1">
        <v>2</v>
      </c>
      <c r="D2" s="1" t="str">
        <f>VLOOKUP(B2,Products!A:C,2,FALSE)</f>
        <v>Product A</v>
      </c>
      <c r="E2" s="1">
        <f>VLOOKUP(B2,Products!A:C,3,FALSE)</f>
        <v>120</v>
      </c>
      <c r="F2" s="1">
        <f>C2*E2</f>
        <v>240</v>
      </c>
      <c r="G2" s="1">
        <f>VLOOKUP(B2,Products!A:C,3,FALSE)*0.9</f>
        <v>108</v>
      </c>
      <c r="H2" s="3">
        <f>SUMIF(Orders!D:D,$D2,Orders!C:C)</f>
        <v>2</v>
      </c>
      <c r="I2" s="3" t="str">
        <f>IF(ISNA(VLOOKUP(B2,Products!A:C,2,FALSE)),"Not Found","Found")</f>
        <v>Found</v>
      </c>
      <c r="J2" s="12"/>
      <c r="M2" s="16"/>
      <c r="N2" s="16"/>
    </row>
    <row r="3" spans="1:14">
      <c r="A3" s="1">
        <v>2</v>
      </c>
      <c r="B3" s="1">
        <v>103</v>
      </c>
      <c r="C3" s="1">
        <v>1</v>
      </c>
      <c r="D3" s="1" t="str">
        <f>VLOOKUP(B3,Products!A:C,2,FALSE)</f>
        <v>Product C</v>
      </c>
      <c r="E3" s="1">
        <f>VLOOKUP(B3,Products!A:C,3,FALSE)</f>
        <v>200</v>
      </c>
      <c r="F3" s="1">
        <f t="shared" ref="F3:F7" si="0">C3*E3</f>
        <v>200</v>
      </c>
      <c r="G3" s="1">
        <f>VLOOKUP(B3,Products!A:C,3,FALSE)*0.9</f>
        <v>180</v>
      </c>
      <c r="H3" s="3">
        <f>SUMIF(Orders!D:D,$D3,Orders!C:C)</f>
        <v>1</v>
      </c>
      <c r="I3" s="3" t="str">
        <f>IF(ISNA(VLOOKUP(B3,Products!A:C,2,FALSE)),"Not Found","Found")</f>
        <v>Found</v>
      </c>
      <c r="J3" s="12"/>
      <c r="M3" s="17"/>
      <c r="N3" s="16"/>
    </row>
    <row r="4" spans="1:14">
      <c r="A4" s="1">
        <v>3</v>
      </c>
      <c r="B4" s="1">
        <v>105</v>
      </c>
      <c r="C4" s="1">
        <v>4</v>
      </c>
      <c r="D4" s="1" t="str">
        <f>VLOOKUP(B4,Products!A:C,2,FALSE)</f>
        <v>Product E</v>
      </c>
      <c r="E4" s="1">
        <f>VLOOKUP(B4,Products!A:C,3,FALSE)</f>
        <v>220</v>
      </c>
      <c r="F4" s="1">
        <f t="shared" si="0"/>
        <v>880</v>
      </c>
      <c r="G4" s="1">
        <f>VLOOKUP(B4,Products!A:C,3,FALSE)*0.9</f>
        <v>198</v>
      </c>
      <c r="H4" s="3">
        <f>SUMIF(Orders!D:D,$D4,Orders!C:C)</f>
        <v>4</v>
      </c>
      <c r="I4" s="3" t="str">
        <f>IF(ISNA(VLOOKUP(B4,Products!A:C,2,FALSE)),"Not Found","Found")</f>
        <v>Found</v>
      </c>
      <c r="J4" s="12"/>
      <c r="M4" s="17"/>
      <c r="N4" s="16"/>
    </row>
    <row r="5" spans="1:14">
      <c r="A5" s="1">
        <v>4</v>
      </c>
      <c r="B5" s="1">
        <v>106</v>
      </c>
      <c r="C5" s="1">
        <v>3</v>
      </c>
      <c r="D5" s="1" t="str">
        <f>VLOOKUP(B5,Products!A:C,2,FALSE)</f>
        <v>Product F</v>
      </c>
      <c r="E5" s="1">
        <f>VLOOKUP(B5,Products!A:C,3,FALSE)</f>
        <v>130</v>
      </c>
      <c r="F5" s="1">
        <f t="shared" si="0"/>
        <v>390</v>
      </c>
      <c r="G5" s="1">
        <f>VLOOKUP(B5,Products!A:C,3,FALSE)*0.9</f>
        <v>117</v>
      </c>
      <c r="H5" s="3">
        <f>SUMIF(Orders!D:D,$D5,Orders!C:C)</f>
        <v>3</v>
      </c>
      <c r="I5" s="3" t="str">
        <f>IF(ISNA(VLOOKUP(B5,Products!A:C,2,FALSE)),"Not Found","Found")</f>
        <v>Found</v>
      </c>
      <c r="J5" s="12"/>
      <c r="M5" s="17"/>
      <c r="N5" s="16"/>
    </row>
    <row r="6" spans="1:14">
      <c r="A6" s="1">
        <v>5</v>
      </c>
      <c r="B6" s="1">
        <v>102</v>
      </c>
      <c r="C6" s="1">
        <v>5</v>
      </c>
      <c r="D6" s="1" t="str">
        <f>VLOOKUP(B6,Products!A:C,2,FALSE)</f>
        <v>Product B</v>
      </c>
      <c r="E6" s="1">
        <f>VLOOKUP(B6,Products!A:C,3,FALSE)</f>
        <v>150</v>
      </c>
      <c r="F6" s="1">
        <f t="shared" si="0"/>
        <v>750</v>
      </c>
      <c r="G6" s="1">
        <f>VLOOKUP(B6,Products!A:C,3,FALSE)*0.9</f>
        <v>135</v>
      </c>
      <c r="H6" s="3">
        <f>SUMIF(Orders!D:D,$D6,Orders!C:C)</f>
        <v>5</v>
      </c>
      <c r="I6" s="3" t="str">
        <f>IF(ISNA(VLOOKUP(B6,Products!A:C,2,FALSE)),"Not Found","Found")</f>
        <v>Found</v>
      </c>
      <c r="J6" s="12"/>
      <c r="M6" s="16"/>
      <c r="N6" s="16"/>
    </row>
    <row r="7" spans="1:14">
      <c r="A7" s="1">
        <v>6</v>
      </c>
      <c r="B7" s="1">
        <v>104</v>
      </c>
      <c r="C7" s="1">
        <v>6</v>
      </c>
      <c r="D7" s="1" t="str">
        <f>VLOOKUP(B7,Products!A:C,2,FALSE)</f>
        <v>Product D</v>
      </c>
      <c r="E7" s="1">
        <f>VLOOKUP(B7,Products!A:C,3,FALSE)</f>
        <v>90</v>
      </c>
      <c r="F7" s="1">
        <f t="shared" si="0"/>
        <v>540</v>
      </c>
      <c r="G7" s="1">
        <f>VLOOKUP(B7,Products!A:C,3,FALSE)*0.9</f>
        <v>81</v>
      </c>
      <c r="H7" s="3">
        <f>SUMIF(Orders!D:D,$D7,Orders!C:C)</f>
        <v>6</v>
      </c>
      <c r="I7" s="3" t="str">
        <f>IF(ISNA(VLOOKUP(B7,Products!A:C,2,FALSE)),"Not Found","Found")</f>
        <v>Found</v>
      </c>
      <c r="J7" s="12"/>
      <c r="M7" s="17"/>
      <c r="N7" s="16"/>
    </row>
    <row r="8" spans="1:14">
      <c r="A8" s="1">
        <v>7</v>
      </c>
      <c r="B8" s="1">
        <v>134</v>
      </c>
      <c r="C8" s="1"/>
      <c r="D8" s="1"/>
      <c r="E8" s="1"/>
      <c r="F8" s="1"/>
      <c r="G8" s="1"/>
      <c r="H8" s="3"/>
      <c r="I8" s="3" t="str">
        <f>IF(ISNA(VLOOKUP(B8,Products!A:C,2,FALSE)),"Not Found","Found")</f>
        <v>Not Found</v>
      </c>
      <c r="J8" s="12"/>
      <c r="M8" s="1"/>
      <c r="N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2026-03-08T16:42:32Z</dcterms:created>
  <dcterms:modified xsi:type="dcterms:W3CDTF">2026-03-10T04:42:37Z</dcterms:modified>
  <cp:category/>
  <cp:contentStatus/>
</cp:coreProperties>
</file>