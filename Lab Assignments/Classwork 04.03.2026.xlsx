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 Study\"/>
    </mc:Choice>
  </mc:AlternateContent>
  <xr:revisionPtr revIDLastSave="0" documentId="8_{8AFCFCD1-5AA6-4336-AEAC-47D29ACB9A47}" xr6:coauthVersionLast="47" xr6:coauthVersionMax="47" xr10:uidLastSave="{00000000-0000-0000-0000-000000000000}"/>
  <bookViews>
    <workbookView xWindow="-108" yWindow="-108" windowWidth="23256" windowHeight="12456" xr2:uid="{7C66AA12-17D7-4C18-9571-79084A8F6F55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2" hidden="1">Sheet3!$A$1:$I$11</definedName>
    <definedName name="_xlnm._FilterDatabase" localSheetId="3" hidden="1">Sheet4!$A$1:$I$11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" i="1" l="1"/>
  <c r="O14" i="1"/>
  <c r="O13" i="1"/>
  <c r="O12" i="1"/>
  <c r="O11" i="1"/>
  <c r="O10" i="1"/>
  <c r="O9" i="1"/>
  <c r="O7" i="1"/>
  <c r="O8" i="1"/>
  <c r="O6" i="1"/>
  <c r="O5" i="1"/>
</calcChain>
</file>

<file path=xl/sharedStrings.xml><?xml version="1.0" encoding="utf-8"?>
<sst xmlns="http://schemas.openxmlformats.org/spreadsheetml/2006/main" count="217" uniqueCount="45">
  <si>
    <t>Order_ID</t>
  </si>
  <si>
    <t>Date</t>
  </si>
  <si>
    <t>Region</t>
  </si>
  <si>
    <t>Salesperson</t>
  </si>
  <si>
    <t>Product</t>
  </si>
  <si>
    <t>Category</t>
  </si>
  <si>
    <t>Quantity</t>
  </si>
  <si>
    <t>Unit_Price</t>
  </si>
  <si>
    <t>Total_Sales</t>
  </si>
  <si>
    <t>East</t>
  </si>
  <si>
    <t>Amit</t>
  </si>
  <si>
    <t>Laptop</t>
  </si>
  <si>
    <t>Electronics</t>
  </si>
  <si>
    <t>Q1. Sort Total_Sales from Highest to Lowest.</t>
  </si>
  <si>
    <t>West</t>
  </si>
  <si>
    <t>Priya</t>
  </si>
  <si>
    <t>Phone</t>
  </si>
  <si>
    <t>Q2. Filter data to show only "Electronics" category.</t>
  </si>
  <si>
    <t>North</t>
  </si>
  <si>
    <t>Rahul</t>
  </si>
  <si>
    <t>Chair</t>
  </si>
  <si>
    <t>Furniture</t>
  </si>
  <si>
    <t>Q3. Filter sales done by Amit in East region.</t>
  </si>
  <si>
    <t>South</t>
  </si>
  <si>
    <t>Neha</t>
  </si>
  <si>
    <t>Table</t>
  </si>
  <si>
    <t>Q4. Find total sales of all orders.</t>
  </si>
  <si>
    <t>Q5. Find total quantity sold.</t>
  </si>
  <si>
    <t>Q6. Find average Total_Sales.</t>
  </si>
  <si>
    <t>Desk</t>
  </si>
  <si>
    <t>Q7. Find average quantity sold per order.</t>
  </si>
  <si>
    <t>Q8. Count total number of orders.</t>
  </si>
  <si>
    <t>Q9. Count number of Furniture orders.</t>
  </si>
  <si>
    <t>Q10. Find total sales for Electronics category.</t>
  </si>
  <si>
    <t>Q11. Find total sales done by Amit.</t>
  </si>
  <si>
    <t>Q12. Total sales of Electronics in East region.</t>
  </si>
  <si>
    <t>Q13. Total sales by Priya in West region.</t>
  </si>
  <si>
    <t>Q14. Highlight Total_Sales greater than 1,00,000.</t>
  </si>
  <si>
    <t>Q15. Highlight Quantity less than 3.</t>
  </si>
  <si>
    <t>Q16. Count orders where:</t>
  </si>
  <si>
    <t>Category = Electronics</t>
  </si>
  <si>
    <t>Quantity &gt; 3</t>
  </si>
  <si>
    <t>question 1</t>
  </si>
  <si>
    <t>question 2</t>
  </si>
  <si>
    <t>question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</si>
</sst>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B6149-8E81-489F-91E3-C4CF917A52EE}">
  <dimension ref="A1:O21"/>
  <sheetViews>
    <sheetView tabSelected="1" workbookViewId="0">
      <selection activeCell="M24" sqref="M24"/>
    </sheetView>
  </sheetViews>
  <sheetFormatPr defaultRowHeight="14.45"/>
  <cols>
    <col min="1" max="1" width="8.5703125" bestFit="1" customWidth="1"/>
    <col min="2" max="2" width="11.7109375" customWidth="1"/>
    <col min="3" max="3" width="6.7109375" bestFit="1" customWidth="1"/>
    <col min="4" max="4" width="11" bestFit="1" customWidth="1"/>
    <col min="5" max="5" width="7.7109375" bestFit="1" customWidth="1"/>
    <col min="6" max="6" width="13.7109375" customWidth="1"/>
    <col min="7" max="7" width="8.28515625" bestFit="1" customWidth="1"/>
    <col min="8" max="8" width="9.7109375" bestFit="1" customWidth="1"/>
    <col min="9" max="9" width="10.42578125" bestFit="1" customWidth="1"/>
    <col min="14" max="14" width="21.140625" customWidth="1"/>
  </cols>
  <sheetData>
    <row r="1" spans="1:15" ht="3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5">
      <c r="A2" s="2">
        <v>1001</v>
      </c>
      <c r="B2" s="3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  <c r="K2" t="s">
        <v>13</v>
      </c>
    </row>
    <row r="3" spans="1:15" ht="14.25" customHeight="1">
      <c r="A3" s="2">
        <v>1002</v>
      </c>
      <c r="B3" s="3">
        <v>45299</v>
      </c>
      <c r="C3" s="2" t="s">
        <v>14</v>
      </c>
      <c r="D3" s="2" t="s">
        <v>15</v>
      </c>
      <c r="E3" s="2" t="s">
        <v>16</v>
      </c>
      <c r="F3" s="2" t="s">
        <v>12</v>
      </c>
      <c r="G3" s="2">
        <v>5</v>
      </c>
      <c r="H3" s="2">
        <v>20000</v>
      </c>
      <c r="I3" s="2">
        <v>100000</v>
      </c>
      <c r="K3" t="s">
        <v>17</v>
      </c>
    </row>
    <row r="4" spans="1:15">
      <c r="A4" s="2">
        <v>1003</v>
      </c>
      <c r="B4" s="3">
        <v>45303</v>
      </c>
      <c r="C4" s="2" t="s">
        <v>18</v>
      </c>
      <c r="D4" s="2" t="s">
        <v>19</v>
      </c>
      <c r="E4" s="2" t="s">
        <v>20</v>
      </c>
      <c r="F4" s="2" t="s">
        <v>21</v>
      </c>
      <c r="G4" s="2">
        <v>10</v>
      </c>
      <c r="H4" s="2">
        <v>3000</v>
      </c>
      <c r="I4" s="2">
        <v>30000</v>
      </c>
      <c r="K4" t="s">
        <v>22</v>
      </c>
    </row>
    <row r="5" spans="1:15">
      <c r="A5" s="2">
        <v>1004</v>
      </c>
      <c r="B5" s="3">
        <v>45306</v>
      </c>
      <c r="C5" s="2" t="s">
        <v>23</v>
      </c>
      <c r="D5" s="2" t="s">
        <v>24</v>
      </c>
      <c r="E5" s="2" t="s">
        <v>25</v>
      </c>
      <c r="F5" s="2" t="s">
        <v>21</v>
      </c>
      <c r="G5" s="2">
        <v>3</v>
      </c>
      <c r="H5" s="2">
        <v>7000</v>
      </c>
      <c r="I5" s="2">
        <v>21000</v>
      </c>
      <c r="K5" t="s">
        <v>26</v>
      </c>
      <c r="O5">
        <f>SUM(I2:I11)</f>
        <v>577000</v>
      </c>
    </row>
    <row r="6" spans="1:15">
      <c r="A6" s="2">
        <v>1005</v>
      </c>
      <c r="B6" s="3">
        <v>45309</v>
      </c>
      <c r="C6" s="2" t="s">
        <v>9</v>
      </c>
      <c r="D6" s="2" t="s">
        <v>10</v>
      </c>
      <c r="E6" s="2" t="s">
        <v>16</v>
      </c>
      <c r="F6" s="2" t="s">
        <v>12</v>
      </c>
      <c r="G6" s="2">
        <v>4</v>
      </c>
      <c r="H6" s="2">
        <v>20000</v>
      </c>
      <c r="I6" s="2">
        <v>80000</v>
      </c>
      <c r="K6" t="s">
        <v>27</v>
      </c>
      <c r="O6">
        <f>SUM(G2:G11)</f>
        <v>45</v>
      </c>
    </row>
    <row r="7" spans="1:15">
      <c r="A7" s="2">
        <v>1006</v>
      </c>
      <c r="B7" s="3">
        <v>45311</v>
      </c>
      <c r="C7" s="2" t="s">
        <v>14</v>
      </c>
      <c r="D7" s="2" t="s">
        <v>15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  <c r="K7" t="s">
        <v>28</v>
      </c>
      <c r="O7">
        <f>AVERAGE(I2:I11)</f>
        <v>57700</v>
      </c>
    </row>
    <row r="8" spans="1:15">
      <c r="A8" s="2">
        <v>1007</v>
      </c>
      <c r="B8" s="3">
        <v>45316</v>
      </c>
      <c r="C8" s="2" t="s">
        <v>18</v>
      </c>
      <c r="D8" s="2" t="s">
        <v>19</v>
      </c>
      <c r="E8" s="2" t="s">
        <v>29</v>
      </c>
      <c r="F8" s="2" t="s">
        <v>21</v>
      </c>
      <c r="G8" s="2">
        <v>2</v>
      </c>
      <c r="H8" s="2">
        <v>10000</v>
      </c>
      <c r="I8" s="2">
        <v>20000</v>
      </c>
      <c r="K8" t="s">
        <v>30</v>
      </c>
      <c r="O8">
        <f>AVERAGE(G2:G11)</f>
        <v>4.5</v>
      </c>
    </row>
    <row r="9" spans="1:15">
      <c r="A9" s="2">
        <v>1008</v>
      </c>
      <c r="B9" s="3">
        <v>45319</v>
      </c>
      <c r="C9" s="2" t="s">
        <v>23</v>
      </c>
      <c r="D9" s="2" t="s">
        <v>24</v>
      </c>
      <c r="E9" s="2" t="s">
        <v>16</v>
      </c>
      <c r="F9" s="2" t="s">
        <v>12</v>
      </c>
      <c r="G9" s="2">
        <v>6</v>
      </c>
      <c r="H9" s="2">
        <v>20000</v>
      </c>
      <c r="I9" s="2">
        <v>120000</v>
      </c>
      <c r="K9" t="s">
        <v>31</v>
      </c>
      <c r="O9">
        <f>COUNT(A2:A11)</f>
        <v>10</v>
      </c>
    </row>
    <row r="10" spans="1:15">
      <c r="A10" s="2">
        <v>1009</v>
      </c>
      <c r="B10" s="3">
        <v>45324</v>
      </c>
      <c r="C10" s="2" t="s">
        <v>9</v>
      </c>
      <c r="D10" s="2" t="s">
        <v>10</v>
      </c>
      <c r="E10" s="2" t="s">
        <v>25</v>
      </c>
      <c r="F10" s="2" t="s">
        <v>21</v>
      </c>
      <c r="G10" s="2">
        <v>5</v>
      </c>
      <c r="H10" s="2">
        <v>7000</v>
      </c>
      <c r="I10" s="2">
        <v>35000</v>
      </c>
      <c r="K10" t="s">
        <v>32</v>
      </c>
      <c r="O10">
        <f>COUNTIF(F2:F11,"Furniture")</f>
        <v>5</v>
      </c>
    </row>
    <row r="11" spans="1:15">
      <c r="A11" s="2">
        <v>1010</v>
      </c>
      <c r="B11" s="3">
        <v>45327</v>
      </c>
      <c r="C11" s="2" t="s">
        <v>14</v>
      </c>
      <c r="D11" s="2" t="s">
        <v>15</v>
      </c>
      <c r="E11" s="2" t="s">
        <v>20</v>
      </c>
      <c r="F11" s="2" t="s">
        <v>21</v>
      </c>
      <c r="G11" s="2">
        <v>7</v>
      </c>
      <c r="H11" s="2">
        <v>3000</v>
      </c>
      <c r="I11" s="2">
        <v>21000</v>
      </c>
      <c r="K11" t="s">
        <v>33</v>
      </c>
      <c r="O11">
        <f>SUMIF(F2:F11,"Electronics",I2:I11)</f>
        <v>450000</v>
      </c>
    </row>
    <row r="12" spans="1:15">
      <c r="K12" t="s">
        <v>34</v>
      </c>
      <c r="O12">
        <f>SUMIF(D2:D11,"Amit",I2:I11)</f>
        <v>215000</v>
      </c>
    </row>
    <row r="13" spans="1:15">
      <c r="K13" t="s">
        <v>35</v>
      </c>
      <c r="O13">
        <f>SUMIFS(I2:I11,F2:F11,"Electronics",C2:C11,"East")</f>
        <v>180000</v>
      </c>
    </row>
    <row r="14" spans="1:15">
      <c r="K14" t="s">
        <v>36</v>
      </c>
      <c r="O14">
        <f>SUMIFS(I2:I11,D2:D11,"Priya",C2:C11,"West")</f>
        <v>171000</v>
      </c>
    </row>
    <row r="15" spans="1:15">
      <c r="K15" t="s">
        <v>37</v>
      </c>
    </row>
    <row r="16" spans="1:15">
      <c r="K16" t="s">
        <v>38</v>
      </c>
    </row>
    <row r="17" spans="11:15">
      <c r="K17" t="s">
        <v>39</v>
      </c>
      <c r="O17">
        <f>COUNTIFS(F2:F11,"Electronics",G2:G11,"&gt;3")</f>
        <v>3</v>
      </c>
    </row>
    <row r="18" spans="11:15">
      <c r="K18" s="4"/>
      <c r="L18" s="4" t="s">
        <v>40</v>
      </c>
    </row>
    <row r="19" spans="11:15">
      <c r="K19" s="4"/>
      <c r="L19" s="4" t="s">
        <v>41</v>
      </c>
    </row>
    <row r="20" spans="11:15">
      <c r="K20" s="4"/>
    </row>
    <row r="21" spans="11:15">
      <c r="K21" s="4"/>
    </row>
  </sheetData>
  <conditionalFormatting sqref="I2:I11">
    <cfRule type="cellIs" dxfId="1" priority="2" operator="greaterThan">
      <formula>100000</formula>
    </cfRule>
  </conditionalFormatting>
  <conditionalFormatting sqref="G2:G11">
    <cfRule type="cellIs" dxfId="0" priority="1" operator="lessThan">
      <formula>3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58FE8-3AE2-4A67-BAE3-931F8DEC24D8}">
  <dimension ref="A1:I15"/>
  <sheetViews>
    <sheetView workbookViewId="0">
      <selection activeCell="A15" sqref="A15"/>
    </sheetView>
  </sheetViews>
  <sheetFormatPr defaultRowHeight="15"/>
  <cols>
    <col min="1" max="1" width="10" bestFit="1" customWidth="1"/>
    <col min="2" max="2" width="9.85546875" customWidth="1"/>
    <col min="4" max="4" width="11" customWidth="1"/>
    <col min="6" max="6" width="11.7109375" customWidth="1"/>
    <col min="8" max="8" width="10.85546875" customWidth="1"/>
    <col min="9" max="9" width="11.5703125" customWidth="1"/>
  </cols>
  <sheetData>
    <row r="1" spans="1:9" ht="3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1008</v>
      </c>
      <c r="B2" s="3">
        <v>45319</v>
      </c>
      <c r="C2" s="2" t="s">
        <v>23</v>
      </c>
      <c r="D2" s="2" t="s">
        <v>24</v>
      </c>
      <c r="E2" s="2" t="s">
        <v>16</v>
      </c>
      <c r="F2" s="2" t="s">
        <v>12</v>
      </c>
      <c r="G2" s="2">
        <v>6</v>
      </c>
      <c r="H2" s="2">
        <v>20000</v>
      </c>
      <c r="I2" s="2">
        <v>120000</v>
      </c>
    </row>
    <row r="3" spans="1:9">
      <c r="A3" s="2">
        <v>1001</v>
      </c>
      <c r="B3" s="3">
        <v>45296</v>
      </c>
      <c r="C3" s="2" t="s">
        <v>9</v>
      </c>
      <c r="D3" s="2" t="s">
        <v>10</v>
      </c>
      <c r="E3" s="2" t="s">
        <v>11</v>
      </c>
      <c r="F3" s="2" t="s">
        <v>12</v>
      </c>
      <c r="G3" s="2">
        <v>2</v>
      </c>
      <c r="H3" s="2">
        <v>50000</v>
      </c>
      <c r="I3" s="2">
        <v>100000</v>
      </c>
    </row>
    <row r="4" spans="1:9">
      <c r="A4" s="2">
        <v>1002</v>
      </c>
      <c r="B4" s="3">
        <v>45299</v>
      </c>
      <c r="C4" s="2" t="s">
        <v>14</v>
      </c>
      <c r="D4" s="2" t="s">
        <v>15</v>
      </c>
      <c r="E4" s="2" t="s">
        <v>16</v>
      </c>
      <c r="F4" s="2" t="s">
        <v>12</v>
      </c>
      <c r="G4" s="2">
        <v>5</v>
      </c>
      <c r="H4" s="2">
        <v>20000</v>
      </c>
      <c r="I4" s="2">
        <v>100000</v>
      </c>
    </row>
    <row r="5" spans="1:9">
      <c r="A5" s="2">
        <v>1005</v>
      </c>
      <c r="B5" s="3">
        <v>45309</v>
      </c>
      <c r="C5" s="2" t="s">
        <v>9</v>
      </c>
      <c r="D5" s="2" t="s">
        <v>10</v>
      </c>
      <c r="E5" s="2" t="s">
        <v>16</v>
      </c>
      <c r="F5" s="2" t="s">
        <v>12</v>
      </c>
      <c r="G5" s="2">
        <v>4</v>
      </c>
      <c r="H5" s="2">
        <v>20000</v>
      </c>
      <c r="I5" s="2">
        <v>80000</v>
      </c>
    </row>
    <row r="6" spans="1:9">
      <c r="A6" s="2">
        <v>1006</v>
      </c>
      <c r="B6" s="3">
        <v>45311</v>
      </c>
      <c r="C6" s="2" t="s">
        <v>14</v>
      </c>
      <c r="D6" s="2" t="s">
        <v>15</v>
      </c>
      <c r="E6" s="2" t="s">
        <v>11</v>
      </c>
      <c r="F6" s="2" t="s">
        <v>12</v>
      </c>
      <c r="G6" s="2">
        <v>1</v>
      </c>
      <c r="H6" s="2">
        <v>50000</v>
      </c>
      <c r="I6" s="2">
        <v>50000</v>
      </c>
    </row>
    <row r="7" spans="1:9">
      <c r="A7" s="2">
        <v>1009</v>
      </c>
      <c r="B7" s="3">
        <v>45324</v>
      </c>
      <c r="C7" s="2" t="s">
        <v>9</v>
      </c>
      <c r="D7" s="2" t="s">
        <v>10</v>
      </c>
      <c r="E7" s="2" t="s">
        <v>25</v>
      </c>
      <c r="F7" s="2" t="s">
        <v>21</v>
      </c>
      <c r="G7" s="2">
        <v>5</v>
      </c>
      <c r="H7" s="2">
        <v>7000</v>
      </c>
      <c r="I7" s="2">
        <v>35000</v>
      </c>
    </row>
    <row r="8" spans="1:9">
      <c r="A8" s="2">
        <v>1003</v>
      </c>
      <c r="B8" s="3">
        <v>45303</v>
      </c>
      <c r="C8" s="2" t="s">
        <v>18</v>
      </c>
      <c r="D8" s="2" t="s">
        <v>19</v>
      </c>
      <c r="E8" s="2" t="s">
        <v>20</v>
      </c>
      <c r="F8" s="2" t="s">
        <v>21</v>
      </c>
      <c r="G8" s="2">
        <v>10</v>
      </c>
      <c r="H8" s="2">
        <v>3000</v>
      </c>
      <c r="I8" s="2">
        <v>30000</v>
      </c>
    </row>
    <row r="9" spans="1:9">
      <c r="A9" s="2">
        <v>1004</v>
      </c>
      <c r="B9" s="3">
        <v>45306</v>
      </c>
      <c r="C9" s="2" t="s">
        <v>23</v>
      </c>
      <c r="D9" s="2" t="s">
        <v>24</v>
      </c>
      <c r="E9" s="2" t="s">
        <v>25</v>
      </c>
      <c r="F9" s="2" t="s">
        <v>21</v>
      </c>
      <c r="G9" s="2">
        <v>3</v>
      </c>
      <c r="H9" s="2">
        <v>7000</v>
      </c>
      <c r="I9" s="2">
        <v>21000</v>
      </c>
    </row>
    <row r="10" spans="1:9">
      <c r="A10" s="2">
        <v>1010</v>
      </c>
      <c r="B10" s="3">
        <v>45327</v>
      </c>
      <c r="C10" s="2" t="s">
        <v>14</v>
      </c>
      <c r="D10" s="2" t="s">
        <v>15</v>
      </c>
      <c r="E10" s="2" t="s">
        <v>20</v>
      </c>
      <c r="F10" s="2" t="s">
        <v>21</v>
      </c>
      <c r="G10" s="2">
        <v>7</v>
      </c>
      <c r="H10" s="2">
        <v>3000</v>
      </c>
      <c r="I10" s="2">
        <v>21000</v>
      </c>
    </row>
    <row r="11" spans="1:9">
      <c r="A11" s="2">
        <v>1007</v>
      </c>
      <c r="B11" s="3">
        <v>45316</v>
      </c>
      <c r="C11" s="2" t="s">
        <v>18</v>
      </c>
      <c r="D11" s="2" t="s">
        <v>19</v>
      </c>
      <c r="E11" s="2" t="s">
        <v>29</v>
      </c>
      <c r="F11" s="2" t="s">
        <v>21</v>
      </c>
      <c r="G11" s="2">
        <v>2</v>
      </c>
      <c r="H11" s="2">
        <v>10000</v>
      </c>
      <c r="I11" s="2">
        <v>20000</v>
      </c>
    </row>
    <row r="15" spans="1:9">
      <c r="A15" t="s">
        <v>42</v>
      </c>
    </row>
  </sheetData>
  <sortState xmlns:xlrd2="http://schemas.microsoft.com/office/spreadsheetml/2017/richdata2" ref="A2:I11">
    <sortCondition descending="1" ref="I2:I1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A2CD9-83D1-4DAD-B8B7-EAE3540F63AE}">
  <sheetPr filterMode="1"/>
  <dimension ref="A1:I15"/>
  <sheetViews>
    <sheetView workbookViewId="0">
      <selection activeCell="A15" sqref="A15"/>
    </sheetView>
  </sheetViews>
  <sheetFormatPr defaultRowHeight="15"/>
  <cols>
    <col min="1" max="1" width="10" bestFit="1" customWidth="1"/>
    <col min="2" max="2" width="13.140625" customWidth="1"/>
    <col min="3" max="3" width="13.7109375" customWidth="1"/>
    <col min="4" max="4" width="14.85546875" customWidth="1"/>
    <col min="5" max="5" width="15.5703125" customWidth="1"/>
    <col min="6" max="6" width="12.7109375" customWidth="1"/>
    <col min="8" max="8" width="17.28515625" customWidth="1"/>
    <col min="9" max="9" width="18.7109375" customWidth="1"/>
  </cols>
  <sheetData>
    <row r="1" spans="1:9" ht="3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.75">
      <c r="A2" s="2">
        <v>1001</v>
      </c>
      <c r="B2" s="3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</row>
    <row r="3" spans="1:9" ht="30.75">
      <c r="A3" s="2">
        <v>1002</v>
      </c>
      <c r="B3" s="3">
        <v>45299</v>
      </c>
      <c r="C3" s="2" t="s">
        <v>14</v>
      </c>
      <c r="D3" s="2" t="s">
        <v>15</v>
      </c>
      <c r="E3" s="2" t="s">
        <v>16</v>
      </c>
      <c r="F3" s="2" t="s">
        <v>12</v>
      </c>
      <c r="G3" s="2">
        <v>5</v>
      </c>
      <c r="H3" s="2">
        <v>20000</v>
      </c>
      <c r="I3" s="2">
        <v>100000</v>
      </c>
    </row>
    <row r="4" spans="1:9" hidden="1">
      <c r="A4" s="2">
        <v>1003</v>
      </c>
      <c r="B4" s="3">
        <v>45303</v>
      </c>
      <c r="C4" s="2" t="s">
        <v>18</v>
      </c>
      <c r="D4" s="2" t="s">
        <v>19</v>
      </c>
      <c r="E4" s="2" t="s">
        <v>20</v>
      </c>
      <c r="F4" s="2" t="s">
        <v>21</v>
      </c>
      <c r="G4" s="2">
        <v>10</v>
      </c>
      <c r="H4" s="2">
        <v>3000</v>
      </c>
      <c r="I4" s="2">
        <v>30000</v>
      </c>
    </row>
    <row r="5" spans="1:9" hidden="1">
      <c r="A5" s="2">
        <v>1004</v>
      </c>
      <c r="B5" s="3">
        <v>45306</v>
      </c>
      <c r="C5" s="2" t="s">
        <v>23</v>
      </c>
      <c r="D5" s="2" t="s">
        <v>24</v>
      </c>
      <c r="E5" s="2" t="s">
        <v>25</v>
      </c>
      <c r="F5" s="2" t="s">
        <v>21</v>
      </c>
      <c r="G5" s="2">
        <v>3</v>
      </c>
      <c r="H5" s="2">
        <v>7000</v>
      </c>
      <c r="I5" s="2">
        <v>21000</v>
      </c>
    </row>
    <row r="6" spans="1:9" ht="30.75">
      <c r="A6" s="2">
        <v>1005</v>
      </c>
      <c r="B6" s="3">
        <v>45309</v>
      </c>
      <c r="C6" s="2" t="s">
        <v>9</v>
      </c>
      <c r="D6" s="2" t="s">
        <v>10</v>
      </c>
      <c r="E6" s="2" t="s">
        <v>16</v>
      </c>
      <c r="F6" s="2" t="s">
        <v>12</v>
      </c>
      <c r="G6" s="2">
        <v>4</v>
      </c>
      <c r="H6" s="2">
        <v>20000</v>
      </c>
      <c r="I6" s="2">
        <v>80000</v>
      </c>
    </row>
    <row r="7" spans="1:9" ht="30.75">
      <c r="A7" s="2">
        <v>1006</v>
      </c>
      <c r="B7" s="3">
        <v>45311</v>
      </c>
      <c r="C7" s="2" t="s">
        <v>14</v>
      </c>
      <c r="D7" s="2" t="s">
        <v>15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</row>
    <row r="8" spans="1:9" hidden="1">
      <c r="A8" s="2">
        <v>1007</v>
      </c>
      <c r="B8" s="3">
        <v>45316</v>
      </c>
      <c r="C8" s="2" t="s">
        <v>18</v>
      </c>
      <c r="D8" s="2" t="s">
        <v>19</v>
      </c>
      <c r="E8" s="2" t="s">
        <v>29</v>
      </c>
      <c r="F8" s="2" t="s">
        <v>21</v>
      </c>
      <c r="G8" s="2">
        <v>2</v>
      </c>
      <c r="H8" s="2">
        <v>10000</v>
      </c>
      <c r="I8" s="2">
        <v>20000</v>
      </c>
    </row>
    <row r="9" spans="1:9" ht="30.75">
      <c r="A9" s="2">
        <v>1008</v>
      </c>
      <c r="B9" s="3">
        <v>45319</v>
      </c>
      <c r="C9" s="2" t="s">
        <v>23</v>
      </c>
      <c r="D9" s="2" t="s">
        <v>24</v>
      </c>
      <c r="E9" s="2" t="s">
        <v>16</v>
      </c>
      <c r="F9" s="2" t="s">
        <v>12</v>
      </c>
      <c r="G9" s="2">
        <v>6</v>
      </c>
      <c r="H9" s="2">
        <v>20000</v>
      </c>
      <c r="I9" s="2">
        <v>120000</v>
      </c>
    </row>
    <row r="10" spans="1:9" hidden="1">
      <c r="A10" s="2">
        <v>1009</v>
      </c>
      <c r="B10" s="3">
        <v>45324</v>
      </c>
      <c r="C10" s="2" t="s">
        <v>9</v>
      </c>
      <c r="D10" s="2" t="s">
        <v>10</v>
      </c>
      <c r="E10" s="2" t="s">
        <v>25</v>
      </c>
      <c r="F10" s="2" t="s">
        <v>21</v>
      </c>
      <c r="G10" s="2">
        <v>5</v>
      </c>
      <c r="H10" s="2">
        <v>7000</v>
      </c>
      <c r="I10" s="2">
        <v>35000</v>
      </c>
    </row>
    <row r="11" spans="1:9" hidden="1">
      <c r="A11" s="2">
        <v>1010</v>
      </c>
      <c r="B11" s="3">
        <v>45327</v>
      </c>
      <c r="C11" s="2" t="s">
        <v>14</v>
      </c>
      <c r="D11" s="2" t="s">
        <v>15</v>
      </c>
      <c r="E11" s="2" t="s">
        <v>20</v>
      </c>
      <c r="F11" s="2" t="s">
        <v>21</v>
      </c>
      <c r="G11" s="2">
        <v>7</v>
      </c>
      <c r="H11" s="2">
        <v>3000</v>
      </c>
      <c r="I11" s="2">
        <v>21000</v>
      </c>
    </row>
    <row r="15" spans="1:9">
      <c r="A15" t="s">
        <v>43</v>
      </c>
    </row>
  </sheetData>
  <autoFilter ref="A1:I11" xr:uid="{9BCA2CD9-83D1-4DAD-B8B7-EAE3540F63AE}">
    <filterColumn colId="5">
      <filters>
        <filter val="Electronics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DE7C-210E-4779-965E-FF6E720C4744}">
  <sheetPr filterMode="1"/>
  <dimension ref="A1:I14"/>
  <sheetViews>
    <sheetView workbookViewId="0">
      <selection activeCell="D22" sqref="D22"/>
    </sheetView>
  </sheetViews>
  <sheetFormatPr defaultRowHeight="15"/>
  <cols>
    <col min="1" max="1" width="10" bestFit="1" customWidth="1"/>
    <col min="2" max="2" width="14.42578125" customWidth="1"/>
    <col min="4" max="4" width="12.7109375" customWidth="1"/>
    <col min="8" max="8" width="11.7109375" customWidth="1"/>
    <col min="9" max="9" width="11.42578125" customWidth="1"/>
  </cols>
  <sheetData>
    <row r="1" spans="1:9" ht="3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.75">
      <c r="A2" s="2">
        <v>1001</v>
      </c>
      <c r="B2" s="3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</row>
    <row r="3" spans="1:9" ht="30.75" hidden="1">
      <c r="A3" s="2">
        <v>1002</v>
      </c>
      <c r="B3" s="3">
        <v>45299</v>
      </c>
      <c r="C3" s="2" t="s">
        <v>14</v>
      </c>
      <c r="D3" s="2" t="s">
        <v>15</v>
      </c>
      <c r="E3" s="2" t="s">
        <v>16</v>
      </c>
      <c r="F3" s="2" t="s">
        <v>12</v>
      </c>
      <c r="G3" s="2">
        <v>5</v>
      </c>
      <c r="H3" s="2">
        <v>20000</v>
      </c>
      <c r="I3" s="2">
        <v>100000</v>
      </c>
    </row>
    <row r="4" spans="1:9" hidden="1">
      <c r="A4" s="2">
        <v>1003</v>
      </c>
      <c r="B4" s="3">
        <v>45303</v>
      </c>
      <c r="C4" s="2" t="s">
        <v>18</v>
      </c>
      <c r="D4" s="2" t="s">
        <v>19</v>
      </c>
      <c r="E4" s="2" t="s">
        <v>20</v>
      </c>
      <c r="F4" s="2" t="s">
        <v>21</v>
      </c>
      <c r="G4" s="2">
        <v>10</v>
      </c>
      <c r="H4" s="2">
        <v>3000</v>
      </c>
      <c r="I4" s="2">
        <v>30000</v>
      </c>
    </row>
    <row r="5" spans="1:9" hidden="1">
      <c r="A5" s="2">
        <v>1004</v>
      </c>
      <c r="B5" s="3">
        <v>45306</v>
      </c>
      <c r="C5" s="2" t="s">
        <v>23</v>
      </c>
      <c r="D5" s="2" t="s">
        <v>24</v>
      </c>
      <c r="E5" s="2" t="s">
        <v>25</v>
      </c>
      <c r="F5" s="2" t="s">
        <v>21</v>
      </c>
      <c r="G5" s="2">
        <v>3</v>
      </c>
      <c r="H5" s="2">
        <v>7000</v>
      </c>
      <c r="I5" s="2">
        <v>21000</v>
      </c>
    </row>
    <row r="6" spans="1:9" ht="30.75">
      <c r="A6" s="2">
        <v>1005</v>
      </c>
      <c r="B6" s="3">
        <v>45309</v>
      </c>
      <c r="C6" s="2" t="s">
        <v>9</v>
      </c>
      <c r="D6" s="2" t="s">
        <v>10</v>
      </c>
      <c r="E6" s="2" t="s">
        <v>16</v>
      </c>
      <c r="F6" s="2" t="s">
        <v>12</v>
      </c>
      <c r="G6" s="2">
        <v>4</v>
      </c>
      <c r="H6" s="2">
        <v>20000</v>
      </c>
      <c r="I6" s="2">
        <v>80000</v>
      </c>
    </row>
    <row r="7" spans="1:9" ht="30.75" hidden="1">
      <c r="A7" s="2">
        <v>1006</v>
      </c>
      <c r="B7" s="3">
        <v>45311</v>
      </c>
      <c r="C7" s="2" t="s">
        <v>14</v>
      </c>
      <c r="D7" s="2" t="s">
        <v>15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</row>
    <row r="8" spans="1:9" hidden="1">
      <c r="A8" s="2">
        <v>1007</v>
      </c>
      <c r="B8" s="3">
        <v>45316</v>
      </c>
      <c r="C8" s="2" t="s">
        <v>18</v>
      </c>
      <c r="D8" s="2" t="s">
        <v>19</v>
      </c>
      <c r="E8" s="2" t="s">
        <v>29</v>
      </c>
      <c r="F8" s="2" t="s">
        <v>21</v>
      </c>
      <c r="G8" s="2">
        <v>2</v>
      </c>
      <c r="H8" s="2">
        <v>10000</v>
      </c>
      <c r="I8" s="2">
        <v>20000</v>
      </c>
    </row>
    <row r="9" spans="1:9" ht="30.75" hidden="1">
      <c r="A9" s="2">
        <v>1008</v>
      </c>
      <c r="B9" s="3">
        <v>45319</v>
      </c>
      <c r="C9" s="2" t="s">
        <v>23</v>
      </c>
      <c r="D9" s="2" t="s">
        <v>24</v>
      </c>
      <c r="E9" s="2" t="s">
        <v>16</v>
      </c>
      <c r="F9" s="2" t="s">
        <v>12</v>
      </c>
      <c r="G9" s="2">
        <v>6</v>
      </c>
      <c r="H9" s="2">
        <v>20000</v>
      </c>
      <c r="I9" s="2">
        <v>120000</v>
      </c>
    </row>
    <row r="10" spans="1:9">
      <c r="A10" s="2">
        <v>1009</v>
      </c>
      <c r="B10" s="3">
        <v>45324</v>
      </c>
      <c r="C10" s="2" t="s">
        <v>9</v>
      </c>
      <c r="D10" s="2" t="s">
        <v>10</v>
      </c>
      <c r="E10" s="2" t="s">
        <v>25</v>
      </c>
      <c r="F10" s="2" t="s">
        <v>21</v>
      </c>
      <c r="G10" s="2">
        <v>5</v>
      </c>
      <c r="H10" s="2">
        <v>7000</v>
      </c>
      <c r="I10" s="2">
        <v>35000</v>
      </c>
    </row>
    <row r="11" spans="1:9" hidden="1">
      <c r="A11" s="2">
        <v>1010</v>
      </c>
      <c r="B11" s="3">
        <v>45327</v>
      </c>
      <c r="C11" s="2" t="s">
        <v>14</v>
      </c>
      <c r="D11" s="2" t="s">
        <v>15</v>
      </c>
      <c r="E11" s="2" t="s">
        <v>20</v>
      </c>
      <c r="F11" s="2" t="s">
        <v>21</v>
      </c>
      <c r="G11" s="2">
        <v>7</v>
      </c>
      <c r="H11" s="2">
        <v>3000</v>
      </c>
      <c r="I11" s="2">
        <v>21000</v>
      </c>
    </row>
    <row r="14" spans="1:9">
      <c r="A14" t="s">
        <v>44</v>
      </c>
    </row>
  </sheetData>
  <autoFilter ref="A1:I11" xr:uid="{32D4DE7C-210E-4779-965E-FF6E720C4744}">
    <filterColumn colId="3">
      <filters>
        <filter val="Ami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Tandra Paul</dc:creator>
  <cp:keywords/>
  <dc:description/>
  <cp:lastModifiedBy/>
  <cp:revision/>
  <dcterms:created xsi:type="dcterms:W3CDTF">2026-03-04T02:35:16Z</dcterms:created>
  <dcterms:modified xsi:type="dcterms:W3CDTF">2026-03-05T04:00:15Z</dcterms:modified>
  <cp:category/>
  <cp:contentStatus/>
</cp:coreProperties>
</file>