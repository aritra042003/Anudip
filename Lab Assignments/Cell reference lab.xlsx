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458F96E-D08C-4C78-805C-168002462F2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A1" i="1"/>
  <c r="H2" i="2" l="1"/>
  <c r="I2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J3" i="2" l="1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2" i="2"/>
  <c r="K2" i="2" s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<sst xmlns="http://schemas.openxmlformats.org/spreadsheetml/2006/main" count="34" uniqueCount="29">
  <si>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</si>
  <si>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</si>
  <si>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</si>
  <si>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</si>
  <si>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</si>
  <si>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</si>
  <si>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</si>
  <si>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</si>
  <si>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</si>
  <si>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</si>
  <si>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Final Bill</t>
  </si>
  <si>
    <t>Pen</t>
  </si>
  <si>
    <t>Amit</t>
  </si>
  <si>
    <t>Pencil</t>
  </si>
  <si>
    <t>Riya</t>
  </si>
  <si>
    <t>Notebook</t>
  </si>
  <si>
    <t>John</t>
  </si>
  <si>
    <t>Eraser</t>
  </si>
  <si>
    <t>Marker</t>
  </si>
  <si>
    <t>Scale</t>
  </si>
  <si>
    <t>Sharpener</t>
  </si>
  <si>
    <t>File</t>
  </si>
  <si>
    <t>Company Tax</t>
  </si>
  <si>
    <t>Shipping Charge</t>
  </si>
  <si>
    <t>Total = Price × Quantity</t>
  </si>
  <si>
    <t>Discount = Total × Discount %</t>
  </si>
  <si>
    <t>After Discount = Total − Discount</t>
  </si>
  <si>
    <t>Tax = After Discount × Tax %</t>
  </si>
  <si>
    <t>Final = After Discount + Tax +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</si>
</sst>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0" borderId="3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1" xfId="0" applyFill="1" applyBorder="1"/>
    <xf numFmtId="9" fontId="0" fillId="2" borderId="1" xfId="0" applyNumberFormat="1" applyFill="1" applyBorder="1"/>
    <xf numFmtId="0" fontId="0" fillId="2" borderId="2" xfId="0" applyFill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>
    <row r="1" spans="1:1">
      <c r="A1">
        <f>1+1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895D-D051-42C9-8B7D-E57E794845D7}">
  <dimension ref="A1:N18"/>
  <sheetViews>
    <sheetView tabSelected="1" workbookViewId="0">
      <selection activeCell="J23" sqref="J23"/>
    </sheetView>
  </sheetViews>
  <sheetFormatPr defaultRowHeight="15"/>
  <cols>
    <col min="1" max="1" width="11" customWidth="1"/>
    <col min="2" max="2" width="10.85546875" bestFit="1" customWidth="1"/>
    <col min="5" max="5" width="12.7109375" customWidth="1"/>
    <col min="6" max="6" width="13.42578125" customWidth="1"/>
    <col min="7" max="7" width="10.28515625" bestFit="1" customWidth="1"/>
    <col min="8" max="8" width="16.42578125" bestFit="1" customWidth="1"/>
    <col min="9" max="9" width="18.5703125" bestFit="1" customWidth="1"/>
    <col min="10" max="10" width="11.7109375" bestFit="1" customWidth="1"/>
    <col min="12" max="12" width="15" bestFit="1" customWidth="1"/>
    <col min="14" max="14" width="34.140625" bestFit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4">
      <c r="A2" s="7">
        <v>1001</v>
      </c>
      <c r="B2" s="7" t="s">
        <v>11</v>
      </c>
      <c r="C2" s="7">
        <v>10</v>
      </c>
      <c r="D2" s="7">
        <v>5</v>
      </c>
      <c r="E2" s="8">
        <v>0.05</v>
      </c>
      <c r="F2" s="9" t="s">
        <v>12</v>
      </c>
      <c r="G2" s="11">
        <f>C2*D2</f>
        <v>50</v>
      </c>
      <c r="H2" s="11">
        <f>G2*E2</f>
        <v>2.5</v>
      </c>
      <c r="I2" s="11">
        <f>G2-H2</f>
        <v>47.5</v>
      </c>
      <c r="J2" s="11">
        <f>I2*$M$9</f>
        <v>8.5499999999999989</v>
      </c>
      <c r="K2" s="11">
        <f>I2+J2+$M$10</f>
        <v>76.05</v>
      </c>
      <c r="L2" s="1"/>
    </row>
    <row r="3" spans="1:14">
      <c r="A3" s="7">
        <v>1002</v>
      </c>
      <c r="B3" s="7" t="s">
        <v>13</v>
      </c>
      <c r="C3" s="7">
        <v>5</v>
      </c>
      <c r="D3" s="7">
        <v>10</v>
      </c>
      <c r="E3" s="8">
        <v>0</v>
      </c>
      <c r="F3" s="9" t="s">
        <v>14</v>
      </c>
      <c r="G3" s="11">
        <f t="shared" ref="G3:G9" si="0">C3*D3</f>
        <v>50</v>
      </c>
      <c r="H3" s="11">
        <f t="shared" ref="H3:H9" si="1">G3*E3</f>
        <v>0</v>
      </c>
      <c r="I3" s="11">
        <f t="shared" ref="I3:I9" si="2">G3-H3</f>
        <v>50</v>
      </c>
      <c r="J3" s="11">
        <f>I3*$M$9</f>
        <v>9</v>
      </c>
      <c r="K3" s="11">
        <f>I3+J3+$M$10</f>
        <v>79</v>
      </c>
    </row>
    <row r="4" spans="1:14">
      <c r="A4" s="7">
        <v>1003</v>
      </c>
      <c r="B4" s="7" t="s">
        <v>15</v>
      </c>
      <c r="C4" s="7">
        <v>50</v>
      </c>
      <c r="D4" s="7">
        <v>3</v>
      </c>
      <c r="E4" s="8">
        <v>0.1</v>
      </c>
      <c r="F4" s="9" t="s">
        <v>16</v>
      </c>
      <c r="G4" s="11">
        <f t="shared" si="0"/>
        <v>150</v>
      </c>
      <c r="H4" s="11">
        <f t="shared" si="1"/>
        <v>15</v>
      </c>
      <c r="I4" s="11">
        <f t="shared" si="2"/>
        <v>135</v>
      </c>
      <c r="J4" s="11">
        <f>I4*$M$9</f>
        <v>24.3</v>
      </c>
      <c r="K4" s="11">
        <f>I4+J4+$M$10</f>
        <v>179.3</v>
      </c>
    </row>
    <row r="5" spans="1:14">
      <c r="A5" s="7">
        <v>1004</v>
      </c>
      <c r="B5" s="7" t="s">
        <v>17</v>
      </c>
      <c r="C5" s="7">
        <v>3</v>
      </c>
      <c r="D5" s="7">
        <v>20</v>
      </c>
      <c r="E5" s="8">
        <v>0</v>
      </c>
      <c r="F5" s="9" t="s">
        <v>12</v>
      </c>
      <c r="G5" s="11">
        <f t="shared" si="0"/>
        <v>60</v>
      </c>
      <c r="H5" s="11">
        <f t="shared" si="1"/>
        <v>0</v>
      </c>
      <c r="I5" s="11">
        <f t="shared" si="2"/>
        <v>60</v>
      </c>
      <c r="J5" s="11">
        <f>I5*$M$9</f>
        <v>10.799999999999999</v>
      </c>
      <c r="K5" s="11">
        <f>I5+J5+$M$10</f>
        <v>90.8</v>
      </c>
    </row>
    <row r="6" spans="1:14">
      <c r="A6" s="7">
        <v>1005</v>
      </c>
      <c r="B6" s="7" t="s">
        <v>18</v>
      </c>
      <c r="C6" s="7">
        <v>25</v>
      </c>
      <c r="D6" s="7">
        <v>4</v>
      </c>
      <c r="E6" s="8">
        <v>0.05</v>
      </c>
      <c r="F6" s="9" t="s">
        <v>14</v>
      </c>
      <c r="G6" s="11">
        <f t="shared" si="0"/>
        <v>100</v>
      </c>
      <c r="H6" s="11">
        <f t="shared" si="1"/>
        <v>5</v>
      </c>
      <c r="I6" s="11">
        <f t="shared" si="2"/>
        <v>95</v>
      </c>
      <c r="J6" s="11">
        <f>I6*$M$9</f>
        <v>17.099999999999998</v>
      </c>
      <c r="K6" s="11">
        <f>I6+J6+$M$10</f>
        <v>132.1</v>
      </c>
    </row>
    <row r="7" spans="1:14">
      <c r="A7" s="7">
        <v>1006</v>
      </c>
      <c r="B7" s="7" t="s">
        <v>19</v>
      </c>
      <c r="C7" s="7">
        <v>15</v>
      </c>
      <c r="D7" s="7">
        <v>6</v>
      </c>
      <c r="E7" s="8">
        <v>0</v>
      </c>
      <c r="F7" s="9" t="s">
        <v>16</v>
      </c>
      <c r="G7" s="11">
        <f t="shared" si="0"/>
        <v>90</v>
      </c>
      <c r="H7" s="11">
        <f t="shared" si="1"/>
        <v>0</v>
      </c>
      <c r="I7" s="11">
        <f t="shared" si="2"/>
        <v>90</v>
      </c>
      <c r="J7" s="11">
        <f>I7*$M$9</f>
        <v>16.2</v>
      </c>
      <c r="K7" s="11">
        <f>I7+J7+$M$10</f>
        <v>126.2</v>
      </c>
    </row>
    <row r="8" spans="1:14">
      <c r="A8" s="7">
        <v>1007</v>
      </c>
      <c r="B8" s="7" t="s">
        <v>20</v>
      </c>
      <c r="C8" s="7">
        <v>8</v>
      </c>
      <c r="D8" s="7">
        <v>8</v>
      </c>
      <c r="E8" s="8">
        <v>0.05</v>
      </c>
      <c r="F8" s="9" t="s">
        <v>12</v>
      </c>
      <c r="G8" s="11">
        <f t="shared" si="0"/>
        <v>64</v>
      </c>
      <c r="H8" s="11">
        <f t="shared" si="1"/>
        <v>3.2</v>
      </c>
      <c r="I8" s="11">
        <f t="shared" si="2"/>
        <v>60.8</v>
      </c>
      <c r="J8" s="11">
        <f>I8*$M$9</f>
        <v>10.943999999999999</v>
      </c>
      <c r="K8" s="11">
        <f>I8+J8+$M$10</f>
        <v>91.744</v>
      </c>
    </row>
    <row r="9" spans="1:14">
      <c r="A9" s="7">
        <v>1008</v>
      </c>
      <c r="B9" s="7" t="s">
        <v>21</v>
      </c>
      <c r="C9" s="7">
        <v>40</v>
      </c>
      <c r="D9" s="7">
        <v>2</v>
      </c>
      <c r="E9" s="8">
        <v>0.1</v>
      </c>
      <c r="F9" s="9" t="s">
        <v>14</v>
      </c>
      <c r="G9" s="11">
        <f t="shared" si="0"/>
        <v>80</v>
      </c>
      <c r="H9" s="11">
        <f t="shared" si="1"/>
        <v>8</v>
      </c>
      <c r="I9" s="11">
        <f t="shared" si="2"/>
        <v>72</v>
      </c>
      <c r="J9" s="11">
        <f>I9*$M$9</f>
        <v>12.959999999999999</v>
      </c>
      <c r="K9" s="11">
        <f>I9+J9+$M$10</f>
        <v>104.96</v>
      </c>
      <c r="L9" s="4" t="s">
        <v>22</v>
      </c>
      <c r="M9" s="3">
        <v>0.18</v>
      </c>
    </row>
    <row r="10" spans="1:14">
      <c r="L10" s="2" t="s">
        <v>23</v>
      </c>
      <c r="M10" s="2">
        <v>20</v>
      </c>
    </row>
    <row r="14" spans="1:14">
      <c r="N14" t="s">
        <v>24</v>
      </c>
    </row>
    <row r="15" spans="1:14">
      <c r="N15" t="s">
        <v>25</v>
      </c>
    </row>
    <row r="16" spans="1:14">
      <c r="N16" t="s">
        <v>26</v>
      </c>
    </row>
    <row r="17" spans="12:14">
      <c r="L17" s="1"/>
      <c r="N17" t="s">
        <v>27</v>
      </c>
    </row>
    <row r="18" spans="12:14">
      <c r="N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2026-02-18T05:52:27Z</dcterms:created>
  <dcterms:modified xsi:type="dcterms:W3CDTF">2026-02-23T04:30:52Z</dcterms:modified>
  <cp:category/>
  <cp:contentStatus/>
</cp:coreProperties>
</file>