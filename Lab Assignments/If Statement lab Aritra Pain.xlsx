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D017657E-5F3B-48BE-BBDA-8CB6A90335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2" i="1"/>
  <c r="M3" i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<sst xmlns="http://schemas.openxmlformats.org/spreadsheetml/2006/main" count="25" uniqueCount="23">
  <si>
    <t>ProductID</t>
  </si>
  <si>
    <t>Product</t>
  </si>
  <si>
    <t>Sales</t>
  </si>
  <si>
    <t>Target</t>
  </si>
  <si>
    <t>Region</t>
  </si>
  <si>
    <t>Product Meet Target</t>
  </si>
  <si>
    <t>Regional Bonus Eligibility</t>
  </si>
  <si>
    <t>Commission Rate (Nested IF)</t>
  </si>
  <si>
    <t>Bonus Amount</t>
  </si>
  <si>
    <t>Sales Performance Category</t>
  </si>
  <si>
    <t>Price Tier</t>
  </si>
  <si>
    <t>Year-End Bonus</t>
  </si>
  <si>
    <t>High Performer (Top 25%)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</si>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</sst>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K9" sqref="K9"/>
    </sheetView>
  </sheetViews>
  <sheetFormatPr defaultRowHeight="15"/>
  <cols>
    <col min="1" max="1" width="9.7109375" bestFit="1" customWidth="1"/>
    <col min="2" max="2" width="9.5703125" bestFit="1" customWidth="1"/>
    <col min="3" max="3" width="5.42578125" bestFit="1" customWidth="1"/>
    <col min="4" max="4" width="6.5703125" bestFit="1" customWidth="1"/>
    <col min="5" max="5" width="7" bestFit="1" customWidth="1"/>
    <col min="7" max="7" width="19.28515625" bestFit="1" customWidth="1"/>
    <col min="8" max="8" width="23" customWidth="1"/>
    <col min="9" max="9" width="26.42578125" bestFit="1" customWidth="1"/>
    <col min="10" max="10" width="14.140625" bestFit="1" customWidth="1"/>
    <col min="11" max="11" width="25.140625" customWidth="1"/>
    <col min="13" max="13" width="14.85546875" bestFit="1" customWidth="1"/>
    <col min="14" max="14" width="22.85546875" customWidth="1"/>
  </cols>
  <sheetData>
    <row r="1" spans="1:14" s="1" customFormat="1" ht="18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4" t="s">
        <v>5</v>
      </c>
      <c r="H1" s="5" t="s">
        <v>6</v>
      </c>
      <c r="I1" s="4" t="s">
        <v>7</v>
      </c>
      <c r="J1" s="4" t="s">
        <v>8</v>
      </c>
      <c r="K1" s="5" t="s">
        <v>9</v>
      </c>
      <c r="L1" s="4" t="s">
        <v>10</v>
      </c>
      <c r="M1" s="4" t="s">
        <v>11</v>
      </c>
      <c r="N1" s="5" t="s">
        <v>12</v>
      </c>
    </row>
    <row r="2" spans="1:14">
      <c r="A2" s="3">
        <v>101</v>
      </c>
      <c r="B2" s="3" t="s">
        <v>13</v>
      </c>
      <c r="C2" s="3">
        <v>120</v>
      </c>
      <c r="D2" s="3">
        <v>150</v>
      </c>
      <c r="E2" s="3" t="s">
        <v>14</v>
      </c>
      <c r="G2" s="6" t="str">
        <f>IF(C2&gt;=D2,"Met Target","Not Met")</f>
        <v>Not Met</v>
      </c>
      <c r="H2" s="6" t="str">
        <f>IF(AND(E2="North",C2&gt;200),"Eligible","Not Eligible")</f>
        <v>Not Eligible</v>
      </c>
      <c r="I2" s="6">
        <f>IF(C2&gt;=200,10%,IF(C2&gt;=150,7%,5%))</f>
        <v>0.05</v>
      </c>
      <c r="J2" s="6">
        <f>IF(C2&gt;=D2,C2*10%,C2*5%)</f>
        <v>6</v>
      </c>
      <c r="K2" s="6" t="str">
        <f>IF(C2&gt;=200,"Excellent",IF(C2&gt;=150,"Good","Needs Improvement"))</f>
        <v>Needs Improvement</v>
      </c>
      <c r="L2" s="6" t="str">
        <f>IF(C2&gt;200,"High",IF(C2&gt;=100,"Medium","Low"))</f>
        <v>Medium</v>
      </c>
      <c r="M2" s="6">
        <f>IF(AND(C2&gt;=150,E2="North"),500,300)</f>
        <v>300</v>
      </c>
      <c r="N2" s="6" t="str">
        <f>IF(C2&gt;=PERCENTILE($C$2:$C$7,0.75),"High Performer","Normal")</f>
        <v>Normal</v>
      </c>
    </row>
    <row r="3" spans="1:14">
      <c r="A3" s="3">
        <v>102</v>
      </c>
      <c r="B3" s="3" t="s">
        <v>15</v>
      </c>
      <c r="C3" s="3">
        <v>150</v>
      </c>
      <c r="D3" s="3">
        <v>140</v>
      </c>
      <c r="E3" s="3" t="s">
        <v>16</v>
      </c>
      <c r="G3" s="6" t="str">
        <f t="shared" ref="G3:G7" si="0">IF(C3&gt;=D3,"Met Target","Not Met")</f>
        <v>Met Target</v>
      </c>
      <c r="H3" s="6" t="str">
        <f t="shared" ref="H3:H7" si="1">IF(AND(E3="North",C3&gt;200),"Eligible","Not Eligible")</f>
        <v>Not Eligible</v>
      </c>
      <c r="I3" s="6">
        <f t="shared" ref="I3:I7" si="2">IF(C3&gt;=200,10%,IF(C3&gt;=150,7%,5%))</f>
        <v>7.0000000000000007E-2</v>
      </c>
      <c r="J3" s="6">
        <f t="shared" ref="J3:J7" si="3">IF(C3&gt;=D3,C3*10%,C3*5%)</f>
        <v>15</v>
      </c>
      <c r="K3" s="6" t="str">
        <f t="shared" ref="K3:K7" si="4">IF(C3&gt;=200,"Excellent",IF(C3&gt;=150,"Good","Needs Improvement"))</f>
        <v>Good</v>
      </c>
      <c r="L3" s="6" t="str">
        <f t="shared" ref="L3:L7" si="5">IF(C3&gt;200,"High",IF(C3&gt;=100,"Medium","Low"))</f>
        <v>Medium</v>
      </c>
      <c r="M3" s="6">
        <f t="shared" ref="M3:M7" si="6">IF(AND(C3&gt;=150,E3="North"),500,300)</f>
        <v>300</v>
      </c>
      <c r="N3" s="6" t="str">
        <f t="shared" ref="N3:N7" si="7">IF(C3&gt;=PERCENTILE($C$2:$C$7,0.75),"High Performer","Normal")</f>
        <v>Normal</v>
      </c>
    </row>
    <row r="4" spans="1:14">
      <c r="A4" s="3">
        <v>103</v>
      </c>
      <c r="B4" s="3" t="s">
        <v>17</v>
      </c>
      <c r="C4" s="3">
        <v>200</v>
      </c>
      <c r="D4" s="3">
        <v>200</v>
      </c>
      <c r="E4" s="3" t="s">
        <v>18</v>
      </c>
      <c r="G4" s="6" t="str">
        <f t="shared" si="0"/>
        <v>Met Target</v>
      </c>
      <c r="H4" s="6" t="str">
        <f t="shared" si="1"/>
        <v>Not Eligible</v>
      </c>
      <c r="I4" s="6">
        <f t="shared" si="2"/>
        <v>0.1</v>
      </c>
      <c r="J4" s="6">
        <f t="shared" si="3"/>
        <v>20</v>
      </c>
      <c r="K4" s="6" t="str">
        <f t="shared" si="4"/>
        <v>Excellent</v>
      </c>
      <c r="L4" s="6" t="str">
        <f t="shared" si="5"/>
        <v>Medium</v>
      </c>
      <c r="M4" s="6">
        <f t="shared" si="6"/>
        <v>300</v>
      </c>
      <c r="N4" s="6" t="str">
        <f t="shared" si="7"/>
        <v>High Performer</v>
      </c>
    </row>
    <row r="5" spans="1:14">
      <c r="A5" s="3">
        <v>104</v>
      </c>
      <c r="B5" s="3" t="s">
        <v>19</v>
      </c>
      <c r="C5" s="3">
        <v>90</v>
      </c>
      <c r="D5" s="3">
        <v>100</v>
      </c>
      <c r="E5" s="3" t="s">
        <v>20</v>
      </c>
      <c r="G5" s="6" t="str">
        <f t="shared" si="0"/>
        <v>Not Met</v>
      </c>
      <c r="H5" s="6" t="str">
        <f t="shared" si="1"/>
        <v>Not Eligible</v>
      </c>
      <c r="I5" s="6">
        <f t="shared" si="2"/>
        <v>0.05</v>
      </c>
      <c r="J5" s="6">
        <f t="shared" si="3"/>
        <v>4.5</v>
      </c>
      <c r="K5" s="6" t="str">
        <f t="shared" si="4"/>
        <v>Needs Improvement</v>
      </c>
      <c r="L5" s="6" t="str">
        <f t="shared" si="5"/>
        <v>Low</v>
      </c>
      <c r="M5" s="6">
        <f t="shared" si="6"/>
        <v>300</v>
      </c>
      <c r="N5" s="6" t="str">
        <f t="shared" si="7"/>
        <v>Normal</v>
      </c>
    </row>
    <row r="6" spans="1:14">
      <c r="A6" s="3">
        <v>105</v>
      </c>
      <c r="B6" s="3" t="s">
        <v>21</v>
      </c>
      <c r="C6" s="3">
        <v>220</v>
      </c>
      <c r="D6" s="3">
        <v>210</v>
      </c>
      <c r="E6" s="3" t="s">
        <v>14</v>
      </c>
      <c r="G6" s="6" t="str">
        <f t="shared" si="0"/>
        <v>Met Target</v>
      </c>
      <c r="H6" s="6" t="str">
        <f t="shared" si="1"/>
        <v>Eligible</v>
      </c>
      <c r="I6" s="6">
        <f t="shared" si="2"/>
        <v>0.1</v>
      </c>
      <c r="J6" s="6">
        <f t="shared" si="3"/>
        <v>22</v>
      </c>
      <c r="K6" s="6" t="str">
        <f t="shared" si="4"/>
        <v>Excellent</v>
      </c>
      <c r="L6" s="6" t="str">
        <f t="shared" si="5"/>
        <v>High</v>
      </c>
      <c r="M6" s="6">
        <f t="shared" si="6"/>
        <v>500</v>
      </c>
      <c r="N6" s="6" t="str">
        <f t="shared" si="7"/>
        <v>High Performer</v>
      </c>
    </row>
    <row r="7" spans="1:14">
      <c r="A7" s="3">
        <v>106</v>
      </c>
      <c r="B7" s="3" t="s">
        <v>22</v>
      </c>
      <c r="C7" s="3">
        <v>130</v>
      </c>
      <c r="D7" s="3">
        <v>160</v>
      </c>
      <c r="E7" s="3" t="s">
        <v>16</v>
      </c>
      <c r="G7" s="6" t="str">
        <f t="shared" si="0"/>
        <v>Not Met</v>
      </c>
      <c r="H7" s="6" t="str">
        <f t="shared" si="1"/>
        <v>Not Eligible</v>
      </c>
      <c r="I7" s="6">
        <f t="shared" si="2"/>
        <v>0.05</v>
      </c>
      <c r="J7" s="6">
        <f t="shared" si="3"/>
        <v>6.5</v>
      </c>
      <c r="K7" s="6" t="str">
        <f t="shared" si="4"/>
        <v>Needs Improvement</v>
      </c>
      <c r="L7" s="6" t="str">
        <f t="shared" si="5"/>
        <v>Medium</v>
      </c>
      <c r="M7" s="6">
        <f t="shared" si="6"/>
        <v>300</v>
      </c>
      <c r="N7" s="6" t="str">
        <f t="shared" si="7"/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2026-02-24T06:14:12Z</dcterms:created>
  <dcterms:modified xsi:type="dcterms:W3CDTF">2026-02-24T12:41:38Z</dcterms:modified>
  <cp:category/>
  <cp:contentStatus/>
</cp:coreProperties>
</file>